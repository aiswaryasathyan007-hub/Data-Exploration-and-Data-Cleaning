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ELCOT\Desktop\Aishu\"/>
    </mc:Choice>
  </mc:AlternateContent>
  <xr:revisionPtr revIDLastSave="0" documentId="8_{2D0B5B91-90D0-4C3C-85A1-4A839DEBE7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2" r:id="rId1"/>
  </sheets>
  <definedNames>
    <definedName name="_xlnm._FilterDatabase" localSheetId="0" hidden="1">Dataset!$A$1:$D$32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2" l="1"/>
  <c r="N19" i="2"/>
  <c r="N17" i="2"/>
  <c r="N13" i="2"/>
  <c r="N9" i="2"/>
  <c r="B7" i="2"/>
  <c r="B26" i="2" s="1"/>
  <c r="B21" i="2"/>
  <c r="N27" i="2" l="1"/>
</calcChain>
</file>

<file path=xl/sharedStrings.xml><?xml version="1.0" encoding="utf-8"?>
<sst xmlns="http://schemas.openxmlformats.org/spreadsheetml/2006/main" count="173" uniqueCount="124">
  <si>
    <t>Product ID</t>
  </si>
  <si>
    <t>Price ($)</t>
  </si>
  <si>
    <t>Quantity</t>
  </si>
  <si>
    <t>Category</t>
  </si>
  <si>
    <t>28-JAN-US</t>
  </si>
  <si>
    <t>Electronics</t>
  </si>
  <si>
    <t>15-FEB-US</t>
  </si>
  <si>
    <t>Fashion</t>
  </si>
  <si>
    <t>03-MAR-US</t>
  </si>
  <si>
    <t>Kitchen</t>
  </si>
  <si>
    <t>11-APR-US</t>
  </si>
  <si>
    <t>22-MAY-US</t>
  </si>
  <si>
    <t>07-JUN-UK</t>
  </si>
  <si>
    <t>19-JUL-UK</t>
  </si>
  <si>
    <t>23-AUG-UK</t>
  </si>
  <si>
    <t>05-SEP-UK</t>
  </si>
  <si>
    <t>14-OCT-UK</t>
  </si>
  <si>
    <t>Outdoor</t>
  </si>
  <si>
    <t>17-JUN-IN</t>
  </si>
  <si>
    <t>25-NOV-AU</t>
  </si>
  <si>
    <t>08-DEC-DE</t>
  </si>
  <si>
    <t>18-FEB-CA</t>
  </si>
  <si>
    <t>16-APR-ES</t>
  </si>
  <si>
    <t>21-AUG-CA</t>
  </si>
  <si>
    <t>Accessories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</si>
  <si>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</si>
  <si>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</si>
  <si>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</si>
  <si>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</si>
  <si>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</si>
  <si>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</si>
  <si>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</si>
  <si>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</si>
  <si>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</si>
  <si>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</si>
  <si>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</si>
  <si>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</si>
  <si>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</si>
  <si>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</si>
  <si>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</si>
  <si>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Manufacturing Date</t>
  </si>
  <si>
    <t>Country Code</t>
  </si>
  <si>
    <t>Product Brand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</si>
  <si>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</si>
  <si>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</si>
  <si>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</si>
  <si>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</si>
  <si>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</si>
  <si>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</si>
  <si>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</si>
  <si>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</si>
  <si>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</si>
  <si>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</si>
  <si>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</si>
  <si>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</si>
  <si>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</si>
  <si>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</si>
  <si>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</si>
  <si>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</si>
  <si>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</si>
  <si>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</si>
  <si>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</si>
  <si>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</si>
  <si>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</si>
  <si>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</si>
  <si>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</si>
  <si>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</si>
  <si>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</si>
  <si>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</si>
  <si>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</si>
  <si>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</si>
  <si>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</si>
  <si>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Manufacturing Date year</t>
  </si>
  <si>
    <t>1. Handling Missing Values:</t>
  </si>
  <si>
    <t>● Check for missing values in the 'Price' column.</t>
  </si>
  <si>
    <t>2. Correcting Inconsistent Data:</t>
  </si>
  <si>
    <t>Use the find and replace function to standardize the text formats in the "Product
Name"</t>
  </si>
  <si>
    <t>Splitting and Merging Data:</t>
  </si>
  <si>
    <t>Manufacturing Date"</t>
  </si>
  <si>
    <t>5. Number Formatting:</t>
  </si>
  <si>
    <t>Casio Watch</t>
  </si>
  <si>
    <t>FR</t>
  </si>
  <si>
    <t>Levi's Jeans</t>
  </si>
  <si>
    <t>CA</t>
  </si>
  <si>
    <t>Garmin Fitness Tracker</t>
  </si>
  <si>
    <t>Hamilton Toaster</t>
  </si>
  <si>
    <t>Zara Dress</t>
  </si>
  <si>
    <t>Vitamix Blender</t>
  </si>
  <si>
    <t>Ray-Ban Sunglasses</t>
  </si>
  <si>
    <t>Google Smartphone</t>
  </si>
  <si>
    <t>Xiaomi Fitness Tracker</t>
  </si>
  <si>
    <t>BR</t>
  </si>
  <si>
    <t>Panasonic Microwave</t>
  </si>
  <si>
    <t>Nikon Camera</t>
  </si>
  <si>
    <t>RU</t>
  </si>
  <si>
    <t>Coleman Camping Tent</t>
  </si>
  <si>
    <t>US</t>
  </si>
  <si>
    <t>Oakley Sunglasses</t>
  </si>
  <si>
    <t>UK</t>
  </si>
  <si>
    <t>Asus Laptop</t>
  </si>
  <si>
    <t>IT</t>
  </si>
  <si>
    <t>Huawei Smartwatch</t>
  </si>
  <si>
    <t>CN</t>
  </si>
  <si>
    <t>Samsonite Laptop Bag</t>
  </si>
  <si>
    <t>Bose Headphones</t>
  </si>
  <si>
    <t>ES</t>
  </si>
  <si>
    <t>Fitbit Smartwatch</t>
  </si>
  <si>
    <t>Nespresso Coffee Maker</t>
  </si>
  <si>
    <t>DE</t>
  </si>
  <si>
    <t>Adidas Sneakers</t>
  </si>
  <si>
    <t>AU</t>
  </si>
  <si>
    <t>HP Laptop</t>
  </si>
  <si>
    <t>IN</t>
  </si>
  <si>
    <t>Timberland Hiking Boots</t>
  </si>
  <si>
    <t>Apple Tablet</t>
  </si>
  <si>
    <t>Ninja Blender</t>
  </si>
  <si>
    <t>Adidas T-Shirt</t>
  </si>
  <si>
    <t>Sony Headphones</t>
  </si>
  <si>
    <t>North Face Backpack</t>
  </si>
  <si>
    <t>Samsung Smartphone</t>
  </si>
  <si>
    <t>Keurig Coffee Maker</t>
  </si>
  <si>
    <t>Nike Sneakers</t>
  </si>
  <si>
    <t>Dell Laptop</t>
  </si>
  <si>
    <t>28-JAN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</si>
</sst>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8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10"/>
      <color rgb="FF0D0D0D"/>
      <name val="Calibri"/>
      <family val="2"/>
    </font>
    <font>
      <sz val="16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4DD0E1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5" fillId="0" borderId="0" xfId="0" applyNumberFormat="1" applyFont="1"/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164" fontId="6" fillId="0" borderId="1" xfId="0" applyNumberFormat="1" applyFont="1" applyBorder="1" applyAlignment="1">
      <alignment horizontal="left" vertical="top"/>
    </xf>
    <xf numFmtId="0" fontId="0" fillId="3" borderId="0" xfId="0" applyFill="1"/>
    <xf numFmtId="0" fontId="2" fillId="4" borderId="1" xfId="0" applyFont="1" applyFill="1" applyBorder="1" applyAlignment="1">
      <alignment horizontal="left" vertical="top"/>
    </xf>
    <xf numFmtId="164" fontId="2" fillId="4" borderId="1" xfId="0" applyNumberFormat="1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14" fontId="4" fillId="5" borderId="1" xfId="0" applyNumberFormat="1" applyFont="1" applyFill="1" applyBorder="1" applyAlignment="1">
      <alignment horizontal="left" vertical="top"/>
    </xf>
    <xf numFmtId="14" fontId="0" fillId="0" borderId="0" xfId="0" applyNumberFormat="1"/>
    <xf numFmtId="0" fontId="7" fillId="3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14" fontId="7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zoomScale="61" workbookViewId="0">
      <selection activeCell="B1" sqref="B1:B1048576"/>
    </sheetView>
  </sheetViews>
  <sheetFormatPr defaultColWidth="27.85546875" defaultRowHeight="15" customHeight="1"/>
  <cols>
    <col min="2" max="2" width="27.85546875" style="2"/>
    <col min="5" max="5" width="27.85546875" style="15"/>
    <col min="7" max="7" width="32.28515625" bestFit="1" customWidth="1"/>
    <col min="8" max="8" width="32.7109375" style="15" customWidth="1"/>
    <col min="13" max="13" width="70.28515625" bestFit="1" customWidth="1"/>
  </cols>
  <sheetData>
    <row r="1" spans="1:14" s="10" customFormat="1" ht="15.75" customHeight="1">
      <c r="A1" s="11" t="s">
        <v>0</v>
      </c>
      <c r="B1" s="12" t="s">
        <v>1</v>
      </c>
      <c r="C1" s="11" t="s">
        <v>2</v>
      </c>
      <c r="D1" s="11" t="s">
        <v>3</v>
      </c>
      <c r="E1" s="14" t="s">
        <v>40</v>
      </c>
      <c r="F1" s="13" t="s">
        <v>41</v>
      </c>
      <c r="G1" s="13" t="s">
        <v>42</v>
      </c>
      <c r="H1" s="14" t="s">
        <v>72</v>
      </c>
    </row>
    <row r="2" spans="1:14" ht="15.75" customHeight="1">
      <c r="A2" s="4" t="s">
        <v>4</v>
      </c>
      <c r="B2" s="5">
        <v>1000</v>
      </c>
      <c r="C2" s="4">
        <v>30</v>
      </c>
      <c r="D2" s="4" t="s">
        <v>5</v>
      </c>
      <c r="E2" s="6" t="s">
        <v>123</v>
      </c>
      <c r="F2" s="3" t="s">
        <v>96</v>
      </c>
      <c r="G2" s="3" t="s">
        <v>122</v>
      </c>
      <c r="H2" s="6">
        <v>46050</v>
      </c>
    </row>
    <row r="3" spans="1:14" ht="15.75" customHeight="1">
      <c r="A3" s="7" t="s">
        <v>6</v>
      </c>
      <c r="B3" s="8">
        <v>80</v>
      </c>
      <c r="C3" s="7">
        <v>15</v>
      </c>
      <c r="D3" s="7" t="s">
        <v>7</v>
      </c>
      <c r="E3" s="6" t="s">
        <v>43</v>
      </c>
      <c r="F3" s="3" t="s">
        <v>96</v>
      </c>
      <c r="G3" s="3" t="s">
        <v>121</v>
      </c>
      <c r="H3" s="6">
        <v>46068</v>
      </c>
      <c r="I3" s="1"/>
      <c r="J3" s="1"/>
      <c r="K3" s="1"/>
    </row>
    <row r="4" spans="1:14" ht="15.75" customHeight="1">
      <c r="A4" s="4" t="s">
        <v>8</v>
      </c>
      <c r="B4" s="5">
        <v>130</v>
      </c>
      <c r="C4" s="4">
        <v>40</v>
      </c>
      <c r="D4" s="4" t="s">
        <v>9</v>
      </c>
      <c r="E4" s="6" t="s">
        <v>44</v>
      </c>
      <c r="F4" s="3" t="s">
        <v>96</v>
      </c>
      <c r="G4" s="3" t="s">
        <v>120</v>
      </c>
      <c r="H4" s="6">
        <v>46084</v>
      </c>
      <c r="I4" s="1"/>
      <c r="J4" s="1"/>
      <c r="K4" s="1"/>
    </row>
    <row r="5" spans="1:14" ht="15.75" customHeight="1">
      <c r="A5" s="7" t="s">
        <v>10</v>
      </c>
      <c r="B5" s="8">
        <v>900</v>
      </c>
      <c r="C5" s="7">
        <v>25</v>
      </c>
      <c r="D5" s="7" t="s">
        <v>5</v>
      </c>
      <c r="E5" s="6" t="s">
        <v>45</v>
      </c>
      <c r="F5" s="3" t="s">
        <v>96</v>
      </c>
      <c r="G5" s="3" t="s">
        <v>119</v>
      </c>
      <c r="H5" s="6">
        <v>46123</v>
      </c>
      <c r="I5" s="1"/>
      <c r="J5" s="1"/>
      <c r="K5" s="1"/>
    </row>
    <row r="6" spans="1:14" ht="15.75" customHeight="1">
      <c r="A6" s="4" t="s">
        <v>11</v>
      </c>
      <c r="B6" s="5">
        <v>70</v>
      </c>
      <c r="C6" s="4">
        <v>20</v>
      </c>
      <c r="D6" s="7" t="s">
        <v>24</v>
      </c>
      <c r="E6" s="6" t="s">
        <v>46</v>
      </c>
      <c r="F6" s="3" t="s">
        <v>96</v>
      </c>
      <c r="G6" s="3" t="s">
        <v>118</v>
      </c>
      <c r="H6" s="6">
        <v>46164</v>
      </c>
    </row>
    <row r="7" spans="1:14" ht="15.75" customHeight="1">
      <c r="A7" s="7" t="s">
        <v>12</v>
      </c>
      <c r="B7" s="9">
        <f>IF(ISBLANK(B2),AVERAGE($B$2:$B$35),B2)</f>
        <v>1000</v>
      </c>
      <c r="C7" s="7">
        <v>45</v>
      </c>
      <c r="D7" s="4" t="s">
        <v>5</v>
      </c>
      <c r="E7" s="6" t="s">
        <v>47</v>
      </c>
      <c r="F7" s="3" t="s">
        <v>98</v>
      </c>
      <c r="G7" s="3" t="s">
        <v>117</v>
      </c>
      <c r="H7" s="6">
        <v>46180</v>
      </c>
    </row>
    <row r="8" spans="1:14" ht="15.75" customHeight="1">
      <c r="A8" s="4" t="s">
        <v>13</v>
      </c>
      <c r="B8" s="5">
        <v>30</v>
      </c>
      <c r="C8" s="4">
        <v>5</v>
      </c>
      <c r="D8" s="4" t="s">
        <v>7</v>
      </c>
      <c r="E8" s="6" t="s">
        <v>48</v>
      </c>
      <c r="F8" s="3" t="s">
        <v>98</v>
      </c>
      <c r="G8" s="3" t="s">
        <v>116</v>
      </c>
      <c r="H8" s="6">
        <v>46222</v>
      </c>
      <c r="M8" s="18" t="s">
        <v>73</v>
      </c>
      <c r="N8" s="18"/>
    </row>
    <row r="9" spans="1:14" ht="15.75" customHeight="1">
      <c r="A9" s="7" t="s">
        <v>14</v>
      </c>
      <c r="B9" s="8">
        <v>90</v>
      </c>
      <c r="C9" s="7">
        <v>35</v>
      </c>
      <c r="D9" s="7" t="s">
        <v>9</v>
      </c>
      <c r="E9" s="6" t="s">
        <v>49</v>
      </c>
      <c r="F9" s="3" t="s">
        <v>98</v>
      </c>
      <c r="G9" s="3" t="s">
        <v>115</v>
      </c>
      <c r="H9" s="6">
        <v>46257</v>
      </c>
      <c r="M9" s="18" t="s">
        <v>74</v>
      </c>
      <c r="N9" s="18">
        <f>IF(ISBLANK(B2),AVERAGE($B$2:$B$35),B2)</f>
        <v>1000</v>
      </c>
    </row>
    <row r="10" spans="1:14" ht="15.75" customHeight="1">
      <c r="A10" s="4" t="s">
        <v>15</v>
      </c>
      <c r="B10" s="5">
        <v>500</v>
      </c>
      <c r="C10" s="4">
        <v>50</v>
      </c>
      <c r="D10" s="4" t="s">
        <v>5</v>
      </c>
      <c r="E10" s="6" t="s">
        <v>50</v>
      </c>
      <c r="F10" s="3" t="s">
        <v>98</v>
      </c>
      <c r="G10" s="3" t="s">
        <v>114</v>
      </c>
      <c r="H10" s="6">
        <v>46270</v>
      </c>
      <c r="M10" s="18"/>
      <c r="N10" s="18"/>
    </row>
    <row r="11" spans="1:14" ht="15.75" customHeight="1">
      <c r="A11" s="7" t="s">
        <v>16</v>
      </c>
      <c r="B11" s="8">
        <v>130</v>
      </c>
      <c r="C11" s="7">
        <v>10</v>
      </c>
      <c r="D11" s="7" t="s">
        <v>17</v>
      </c>
      <c r="E11" s="6" t="s">
        <v>51</v>
      </c>
      <c r="F11" s="3" t="s">
        <v>98</v>
      </c>
      <c r="G11" s="3" t="s">
        <v>113</v>
      </c>
      <c r="H11" s="6">
        <v>46309</v>
      </c>
      <c r="M11" s="18"/>
      <c r="N11" s="18"/>
    </row>
    <row r="12" spans="1:14" ht="15.75" customHeight="1">
      <c r="A12" s="4" t="s">
        <v>18</v>
      </c>
      <c r="B12" s="5">
        <v>950</v>
      </c>
      <c r="C12" s="4">
        <v>25</v>
      </c>
      <c r="D12" s="4" t="s">
        <v>5</v>
      </c>
      <c r="E12" s="6" t="s">
        <v>52</v>
      </c>
      <c r="F12" s="3" t="s">
        <v>112</v>
      </c>
      <c r="G12" s="3" t="s">
        <v>111</v>
      </c>
      <c r="H12" s="6">
        <v>46190</v>
      </c>
      <c r="M12" s="18" t="s">
        <v>75</v>
      </c>
      <c r="N12" s="18"/>
    </row>
    <row r="13" spans="1:14" ht="15.75" customHeight="1">
      <c r="A13" s="7" t="s">
        <v>19</v>
      </c>
      <c r="B13" s="8">
        <v>90</v>
      </c>
      <c r="C13" s="7">
        <v>40</v>
      </c>
      <c r="D13" s="7" t="s">
        <v>7</v>
      </c>
      <c r="E13" s="6" t="s">
        <v>53</v>
      </c>
      <c r="F13" s="3" t="s">
        <v>110</v>
      </c>
      <c r="G13" s="3" t="s">
        <v>109</v>
      </c>
      <c r="H13" s="6">
        <v>46351</v>
      </c>
      <c r="M13" s="19" t="s">
        <v>76</v>
      </c>
      <c r="N13" s="18" t="e">
        <f>PROPER(#REF!)</f>
        <v>#REF!</v>
      </c>
    </row>
    <row r="14" spans="1:14" ht="15.75" customHeight="1">
      <c r="A14" s="4" t="s">
        <v>20</v>
      </c>
      <c r="B14" s="5">
        <v>120</v>
      </c>
      <c r="C14" s="4">
        <v>35</v>
      </c>
      <c r="D14" s="4" t="s">
        <v>9</v>
      </c>
      <c r="E14" s="6" t="s">
        <v>54</v>
      </c>
      <c r="F14" s="3" t="s">
        <v>108</v>
      </c>
      <c r="G14" s="3" t="s">
        <v>107</v>
      </c>
      <c r="H14" s="6">
        <v>46364</v>
      </c>
      <c r="M14" s="18"/>
      <c r="N14" s="18"/>
    </row>
    <row r="15" spans="1:14" ht="15.75" customHeight="1">
      <c r="A15" s="7" t="s">
        <v>21</v>
      </c>
      <c r="B15" s="8">
        <v>150</v>
      </c>
      <c r="C15" s="7">
        <v>15</v>
      </c>
      <c r="D15" s="4" t="s">
        <v>5</v>
      </c>
      <c r="E15" s="6" t="s">
        <v>55</v>
      </c>
      <c r="F15" s="3" t="s">
        <v>83</v>
      </c>
      <c r="G15" s="3" t="s">
        <v>106</v>
      </c>
      <c r="H15" s="6">
        <v>46071</v>
      </c>
      <c r="M15" s="18"/>
      <c r="N15" s="18"/>
    </row>
    <row r="16" spans="1:14" ht="15.75" customHeight="1">
      <c r="A16" s="4" t="s">
        <v>22</v>
      </c>
      <c r="B16" s="5">
        <v>250</v>
      </c>
      <c r="C16" s="4">
        <v>20</v>
      </c>
      <c r="D16" s="4" t="s">
        <v>5</v>
      </c>
      <c r="E16" s="6" t="s">
        <v>56</v>
      </c>
      <c r="F16" s="3" t="s">
        <v>105</v>
      </c>
      <c r="G16" s="3" t="s">
        <v>104</v>
      </c>
      <c r="H16" s="6">
        <v>46128</v>
      </c>
      <c r="M16" s="18" t="s">
        <v>77</v>
      </c>
      <c r="N16" s="18"/>
    </row>
    <row r="17" spans="1:14" ht="15.75" customHeight="1">
      <c r="A17" s="7" t="s">
        <v>23</v>
      </c>
      <c r="B17" s="8">
        <v>50</v>
      </c>
      <c r="C17" s="7">
        <v>35</v>
      </c>
      <c r="D17" s="7" t="s">
        <v>24</v>
      </c>
      <c r="E17" s="6" t="s">
        <v>57</v>
      </c>
      <c r="F17" s="3" t="s">
        <v>83</v>
      </c>
      <c r="G17" s="3" t="s">
        <v>103</v>
      </c>
      <c r="H17" s="6">
        <v>46255</v>
      </c>
      <c r="M17" s="18" t="s">
        <v>78</v>
      </c>
      <c r="N17" s="18" t="str">
        <f>LEFT(A2,6)</f>
        <v>28-JAN</v>
      </c>
    </row>
    <row r="18" spans="1:14" ht="15.75" customHeight="1">
      <c r="A18" s="4" t="s">
        <v>25</v>
      </c>
      <c r="B18" s="5">
        <v>160</v>
      </c>
      <c r="C18" s="4">
        <v>15</v>
      </c>
      <c r="D18" s="4" t="s">
        <v>5</v>
      </c>
      <c r="E18" s="6" t="s">
        <v>58</v>
      </c>
      <c r="F18" s="3" t="s">
        <v>102</v>
      </c>
      <c r="G18" s="3" t="s">
        <v>101</v>
      </c>
      <c r="H18" s="6">
        <v>46254</v>
      </c>
      <c r="M18" s="18"/>
      <c r="N18" s="18"/>
    </row>
    <row r="19" spans="1:14" ht="15.75" customHeight="1">
      <c r="A19" s="7" t="s">
        <v>26</v>
      </c>
      <c r="B19" s="8">
        <v>980</v>
      </c>
      <c r="C19" s="7">
        <v>10</v>
      </c>
      <c r="D19" s="4" t="s">
        <v>5</v>
      </c>
      <c r="E19" s="6" t="s">
        <v>59</v>
      </c>
      <c r="F19" s="3" t="s">
        <v>100</v>
      </c>
      <c r="G19" s="3" t="s">
        <v>99</v>
      </c>
      <c r="H19" s="6">
        <v>46049</v>
      </c>
      <c r="M19" s="16" t="s">
        <v>41</v>
      </c>
      <c r="N19" s="18" t="str">
        <f>RIGHT(A2,2)</f>
        <v>US</v>
      </c>
    </row>
    <row r="20" spans="1:14" ht="15.75" customHeight="1">
      <c r="A20" s="4" t="s">
        <v>27</v>
      </c>
      <c r="B20" s="5">
        <v>150</v>
      </c>
      <c r="C20" s="4">
        <v>15</v>
      </c>
      <c r="D20" s="4" t="s">
        <v>7</v>
      </c>
      <c r="E20" s="6" t="s">
        <v>60</v>
      </c>
      <c r="F20" s="3" t="s">
        <v>98</v>
      </c>
      <c r="G20" s="3" t="s">
        <v>97</v>
      </c>
      <c r="H20" s="6">
        <v>46082</v>
      </c>
      <c r="M20" s="18"/>
      <c r="N20" s="18"/>
    </row>
    <row r="21" spans="1:14" ht="15.75" customHeight="1">
      <c r="A21" s="7" t="s">
        <v>28</v>
      </c>
      <c r="B21" s="9">
        <f>IF(ISBLANK(B2),AVERAGE($B$2:$B$35),B2)</f>
        <v>1000</v>
      </c>
      <c r="C21" s="7">
        <v>10</v>
      </c>
      <c r="D21" s="7" t="s">
        <v>17</v>
      </c>
      <c r="E21" s="6" t="s">
        <v>61</v>
      </c>
      <c r="F21" s="3" t="s">
        <v>96</v>
      </c>
      <c r="G21" s="3" t="s">
        <v>95</v>
      </c>
      <c r="H21" s="6">
        <v>46248</v>
      </c>
      <c r="M21" s="17" t="s">
        <v>42</v>
      </c>
      <c r="N21" s="18" t="e">
        <f>#REF!&amp;" "&amp;#REF!</f>
        <v>#REF!</v>
      </c>
    </row>
    <row r="22" spans="1:14" ht="15.75" customHeight="1">
      <c r="A22" s="4" t="s">
        <v>29</v>
      </c>
      <c r="B22" s="5">
        <v>700</v>
      </c>
      <c r="C22" s="4">
        <v>50</v>
      </c>
      <c r="D22" s="4" t="s">
        <v>5</v>
      </c>
      <c r="E22" s="6" t="s">
        <v>62</v>
      </c>
      <c r="F22" s="3" t="s">
        <v>94</v>
      </c>
      <c r="G22" s="3" t="s">
        <v>93</v>
      </c>
      <c r="H22" s="6">
        <v>46156</v>
      </c>
      <c r="M22" s="18"/>
      <c r="N22" s="18"/>
    </row>
    <row r="23" spans="1:14" ht="15.75" customHeight="1">
      <c r="A23" s="7" t="s">
        <v>30</v>
      </c>
      <c r="B23" s="8">
        <v>80</v>
      </c>
      <c r="C23" s="7">
        <v>20</v>
      </c>
      <c r="D23" s="7" t="s">
        <v>9</v>
      </c>
      <c r="E23" s="6" t="s">
        <v>63</v>
      </c>
      <c r="F23" s="3" t="s">
        <v>83</v>
      </c>
      <c r="G23" s="3" t="s">
        <v>92</v>
      </c>
      <c r="H23" s="6">
        <v>46031</v>
      </c>
      <c r="M23" s="18"/>
      <c r="N23" s="18"/>
    </row>
    <row r="24" spans="1:14" ht="15.75" customHeight="1">
      <c r="A24" s="4" t="s">
        <v>31</v>
      </c>
      <c r="B24" s="5">
        <v>150</v>
      </c>
      <c r="C24" s="4">
        <v>30</v>
      </c>
      <c r="D24" s="4" t="s">
        <v>5</v>
      </c>
      <c r="E24" s="6" t="s">
        <v>48</v>
      </c>
      <c r="F24" s="3" t="s">
        <v>91</v>
      </c>
      <c r="G24" s="3" t="s">
        <v>90</v>
      </c>
      <c r="H24" s="6">
        <v>46222</v>
      </c>
      <c r="M24" s="18"/>
      <c r="N24" s="18"/>
    </row>
    <row r="25" spans="1:14" ht="15.75" customHeight="1">
      <c r="A25" s="4" t="s">
        <v>32</v>
      </c>
      <c r="B25" s="5">
        <v>800</v>
      </c>
      <c r="C25" s="4">
        <v>45</v>
      </c>
      <c r="D25" s="4" t="s">
        <v>5</v>
      </c>
      <c r="E25" s="6" t="s">
        <v>64</v>
      </c>
      <c r="F25" s="3" t="s">
        <v>83</v>
      </c>
      <c r="G25" s="3" t="s">
        <v>89</v>
      </c>
      <c r="H25" s="6">
        <v>46294</v>
      </c>
      <c r="M25" s="18" t="s">
        <v>79</v>
      </c>
      <c r="N25" s="18"/>
    </row>
    <row r="26" spans="1:14" ht="15.75" customHeight="1">
      <c r="A26" s="7" t="s">
        <v>33</v>
      </c>
      <c r="B26" s="9">
        <f>IF(ISBLANK(B7),AVERAGE($B$2:$B$35),B7)</f>
        <v>1000</v>
      </c>
      <c r="C26" s="7">
        <v>25</v>
      </c>
      <c r="D26" s="7" t="s">
        <v>7</v>
      </c>
      <c r="E26" s="6" t="s">
        <v>65</v>
      </c>
      <c r="F26" s="3" t="s">
        <v>83</v>
      </c>
      <c r="G26" s="3" t="s">
        <v>88</v>
      </c>
      <c r="H26" s="6">
        <v>46176</v>
      </c>
      <c r="M26" s="18"/>
      <c r="N26" s="18"/>
    </row>
    <row r="27" spans="1:14" ht="15.75" customHeight="1">
      <c r="A27" s="4" t="s">
        <v>34</v>
      </c>
      <c r="B27" s="5">
        <v>400</v>
      </c>
      <c r="C27" s="4">
        <v>40</v>
      </c>
      <c r="D27" s="4" t="s">
        <v>9</v>
      </c>
      <c r="E27" s="6" t="s">
        <v>66</v>
      </c>
      <c r="F27" s="3" t="s">
        <v>83</v>
      </c>
      <c r="G27" s="3" t="s">
        <v>87</v>
      </c>
      <c r="H27" s="6">
        <v>46214</v>
      </c>
      <c r="M27" s="18" t="s">
        <v>40</v>
      </c>
      <c r="N27" s="20">
        <f>DATEVALUE(E3&amp;"-2026")</f>
        <v>46068</v>
      </c>
    </row>
    <row r="28" spans="1:14" ht="15.75" customHeight="1">
      <c r="A28" s="4" t="s">
        <v>35</v>
      </c>
      <c r="B28" s="5">
        <v>60</v>
      </c>
      <c r="C28" s="4">
        <v>30</v>
      </c>
      <c r="D28" s="4" t="s">
        <v>7</v>
      </c>
      <c r="E28" s="6" t="s">
        <v>67</v>
      </c>
      <c r="F28" s="3" t="s">
        <v>83</v>
      </c>
      <c r="G28" s="3" t="s">
        <v>86</v>
      </c>
      <c r="H28" s="6">
        <v>46088</v>
      </c>
      <c r="M28" s="18"/>
      <c r="N28" s="18"/>
    </row>
    <row r="29" spans="1:14" ht="15.75" customHeight="1">
      <c r="A29" s="7" t="s">
        <v>36</v>
      </c>
      <c r="B29" s="8">
        <v>40</v>
      </c>
      <c r="C29" s="7">
        <v>10</v>
      </c>
      <c r="D29" s="7" t="s">
        <v>9</v>
      </c>
      <c r="E29" s="6" t="s">
        <v>68</v>
      </c>
      <c r="F29" s="3" t="s">
        <v>83</v>
      </c>
      <c r="G29" s="3" t="s">
        <v>85</v>
      </c>
      <c r="H29" s="6">
        <v>46125</v>
      </c>
    </row>
    <row r="30" spans="1:14" ht="15.75" customHeight="1">
      <c r="A30" s="4" t="s">
        <v>37</v>
      </c>
      <c r="B30" s="5">
        <v>130</v>
      </c>
      <c r="C30" s="4">
        <v>5</v>
      </c>
      <c r="D30" s="4" t="s">
        <v>5</v>
      </c>
      <c r="E30" s="6" t="s">
        <v>69</v>
      </c>
      <c r="F30" s="3" t="s">
        <v>83</v>
      </c>
      <c r="G30" s="3" t="s">
        <v>84</v>
      </c>
      <c r="H30" s="6">
        <v>46166</v>
      </c>
    </row>
    <row r="31" spans="1:14" ht="15.75" customHeight="1">
      <c r="A31" s="7" t="s">
        <v>38</v>
      </c>
      <c r="B31" s="8">
        <v>50</v>
      </c>
      <c r="C31" s="7">
        <v>50</v>
      </c>
      <c r="D31" s="7" t="s">
        <v>7</v>
      </c>
      <c r="E31" s="6" t="s">
        <v>70</v>
      </c>
      <c r="F31" s="3" t="s">
        <v>83</v>
      </c>
      <c r="G31" s="3" t="s">
        <v>82</v>
      </c>
      <c r="H31" s="6">
        <v>46358</v>
      </c>
    </row>
    <row r="32" spans="1:14" ht="15.75" customHeight="1">
      <c r="A32" s="7" t="s">
        <v>39</v>
      </c>
      <c r="B32" s="8">
        <v>100</v>
      </c>
      <c r="C32" s="7">
        <v>20</v>
      </c>
      <c r="D32" s="7" t="s">
        <v>24</v>
      </c>
      <c r="E32" s="6" t="s">
        <v>71</v>
      </c>
      <c r="F32" s="3" t="s">
        <v>81</v>
      </c>
      <c r="G32" s="3" t="s">
        <v>80</v>
      </c>
      <c r="H32" s="6">
        <v>46212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32" xr:uid="{00000000-0001-0000-0000-000000000000}"/>
  <conditionalFormatting sqref="B1:B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{E2F19ADF-AB7B-48F1-A6CF-5639527282A1}</x14:id>
        </ext>
      </extLst>
    </cfRule>
  </conditionalFormatting>
  <conditionalFormatting sqref="D1:D1048576">
    <cfRule type="cellIs" dxfId="0" priority="1" operator="equal">
      <formula>"ELECTRONICS"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F19ADF-AB7B-48F1-A6CF-5639527282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S0993912</cp:lastModifiedBy>
  <dcterms:created xsi:type="dcterms:W3CDTF">2026-07-23T14:43:37Z</dcterms:created>
  <dcterms:modified xsi:type="dcterms:W3CDTF">2026-10-01T09:05:47Z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